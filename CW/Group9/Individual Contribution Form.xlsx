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<sst xmlns="http://schemas.openxmlformats.org/spreadsheetml/2006/main" count="40" uniqueCount="36">
  <si>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Individual Contribution</t>
  </si>
  <si>
    <t>Group ID</t>
  </si>
  <si>
    <t>Group 9</t>
  </si>
  <si>
    <t>Project Name</t>
  </si>
  <si>
    <t>Advance Finance Tracker</t>
  </si>
  <si>
    <t>GitHub URL</t>
  </si>
  <si>
    <t>https://github.com/Xyu-Chern/advanced-finance-tracker</t>
  </si>
  <si>
    <t>Teammate Info</t>
  </si>
  <si>
    <t>Individual Technical Evidence</t>
  </si>
  <si>
    <t>#</t>
  </si>
  <si>
    <t>Teammate Name</t>
  </si>
  <si>
    <t>Teammate ID</t>
  </si>
  <si>
    <t>Github Username</t>
  </si>
  <si>
    <t>Deficiencies</t>
  </si>
  <si>
    <t xml:space="preserve">Yiyi Zhu </t>
  </si>
  <si>
    <t>Spbbt</t>
  </si>
  <si>
    <t>Deficiency Title</t>
  </si>
  <si>
    <t>Contribution %</t>
  </si>
  <si>
    <t xml:space="preserve">Yolong Xu </t>
  </si>
  <si>
    <t>diejobdeath</t>
  </si>
  <si>
    <t>Total</t>
  </si>
  <si>
    <t xml:space="preserve">Zichen Qiu </t>
  </si>
  <si>
    <t xml:space="preserve">Rubbin1926
</t>
  </si>
  <si>
    <t>Floating-Point Precision Drift</t>
  </si>
  <si>
    <t xml:space="preserve">Xu Chen </t>
  </si>
  <si>
    <t>Xyu-Chern</t>
  </si>
  <si>
    <t>XSS Attack</t>
  </si>
  <si>
    <t xml:space="preserve">Missing Focus Trap </t>
  </si>
  <si>
    <t>Quantitative Peer Assessment</t>
  </si>
  <si>
    <t>State Collision in Concurrent Events</t>
  </si>
  <si>
    <t>Baseline Standards</t>
  </si>
  <si>
    <t>1. Live Uptime</t>
  </si>
  <si>
    <t>2. Test Coverage</t>
  </si>
  <si>
    <t>3. Accessibility</t>
  </si>
  <si>
    <t>4. i18n</t>
  </si>
  <si>
    <t>5. Legal Compliance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</si>
</sst>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b/>
      <sz val="16"/>
      <color theme="9" tint="-0.249977111117893"/>
      <name val="等线"/>
      <charset val="134"/>
      <scheme val="minor"/>
    </font>
    <font>
      <b/>
      <sz val="12"/>
      <color theme="9" tint="-0.249977111117893"/>
      <name val="等线"/>
      <charset val="134"/>
      <scheme val="minor"/>
    </font>
    <font>
      <sz val="12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2"/>
      <color theme="1"/>
      <name val="等线"/>
      <charset val="134"/>
      <scheme val="minor"/>
    </font>
    <font>
      <b/>
      <sz val="12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E8FFE9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5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3" fillId="3" borderId="1" xfId="0" applyFont="1" applyFill="1" applyBorder="1" applyAlignment="1" applyProtection="1">
      <alignment horizontal="left"/>
      <protection locked="0"/>
    </xf>
    <xf numFmtId="0" fontId="4" fillId="3" borderId="1" xfId="6" applyFont="1" applyFill="1" applyBorder="1" applyAlignment="1" applyProtection="1">
      <alignment horizontal="left"/>
      <protection locked="0"/>
    </xf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3" borderId="1" xfId="0" applyFill="1" applyBorder="1" applyProtection="1">
      <protection locked="0"/>
    </xf>
    <xf numFmtId="49" fontId="2" fillId="3" borderId="1" xfId="0" applyNumberFormat="1" applyFont="1" applyFill="1" applyBorder="1" applyProtection="1">
      <protection locked="0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3" borderId="1" xfId="0" applyFill="1" applyBorder="1" applyAlignment="1" applyProtection="1">
      <alignment horizontal="right"/>
      <protection locked="0"/>
    </xf>
    <xf numFmtId="0" fontId="5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E8FFE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571500</xdr:colOff>
      <xdr:row>25</xdr:row>
      <xdr:rowOff>165100</xdr:rowOff>
    </xdr:from>
    <xdr:to>
      <xdr:col>11</xdr:col>
      <xdr:colOff>444500</xdr:colOff>
      <xdr:row>33</xdr:row>
      <xdr:rowOff>25400</xdr:rowOff>
    </xdr:to>
    <xdr:sp>
      <xdr:nvSpPr>
        <xdr:cNvPr id="5" name="Rounded Rectangle 4"/>
        <xdr:cNvSpPr/>
      </xdr:nvSpPr>
      <xdr:spPr>
        <a:xfrm>
          <a:off x="571500" y="5143500"/>
          <a:ext cx="13065125" cy="1435100"/>
        </a:xfrm>
        <a:prstGeom prst="roundRect">
          <a:avLst/>
        </a:prstGeom>
        <a:solidFill>
          <a:schemeClr val="bg1"/>
        </a:solidFill>
        <a:ln w="28575">
          <a:solidFill>
            <a:schemeClr val="tx1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Add your signatures here</a:t>
          </a:r>
          <a:endParaRPr lang="en-US" sz="1100">
            <a:solidFill>
              <a:schemeClr val="tx1"/>
            </a:solidFill>
          </a:endParaRPr>
        </a:p>
      </xdr:txBody>
    </xdr:sp>
    <xdr:clientData fLocksWithSheet="0"/>
  </xdr:twoCellAnchor>
  <xdr:twoCellAnchor editAs="oneCell">
    <xdr:from>
      <xdr:col>2</xdr:col>
      <xdr:colOff>177165</xdr:colOff>
      <xdr:row>26</xdr:row>
      <xdr:rowOff>6350</xdr:rowOff>
    </xdr:from>
    <xdr:to>
      <xdr:col>4</xdr:col>
      <xdr:colOff>904240</xdr:colOff>
      <xdr:row>32</xdr:row>
      <xdr:rowOff>50800</xdr:rowOff>
    </xdr:to>
    <xdr:pic>
      <xdr:nvPicPr>
        <xdr:cNvPr id="2" name="图片 1" descr="Screenshot_2026-05-18-14-38-32-882_com.flexcil.flexcilnote"/>
        <xdr:cNvPicPr>
          <a:picLocks noChangeAspect="1"/>
        </xdr:cNvPicPr>
      </xdr:nvPicPr>
      <xdr:blipFill>
        <a:blip r:embed="rId1"/>
        <a:srcRect l="28409" t="10511" r="33775" b="67519"/>
        <a:stretch>
          <a:fillRect/>
        </a:stretch>
      </xdr:blipFill>
      <xdr:spPr>
        <a:xfrm>
          <a:off x="2611755" y="5181600"/>
          <a:ext cx="3161665" cy="1225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Xyu-Chern/advanced-finance-tracker/tree/main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workbookViewId="0">
      <selection activeCell="H22" sqref="H22"/>
    </sheetView>
  </sheetViews>
  <sheetFormatPr defaultColWidth="11" defaultRowHeight="15.5"/>
  <cols>
    <col min="1" max="1" width="13.8307692307692" customWidth="1"/>
    <col min="2" max="2" width="15.6615384615385" customWidth="1"/>
    <col min="3" max="3" width="13.8307692307692" customWidth="1"/>
    <col min="4" max="4" width="15.6615384615385" customWidth="1"/>
    <col min="5" max="5" width="13.8307692307692" customWidth="1"/>
    <col min="6" max="6" width="8.33076923076923" customWidth="1"/>
    <col min="7" max="7" width="34.6615384615385" customWidth="1"/>
  </cols>
  <sheetData>
    <row r="1" ht="20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>
      <c r="A3" s="2" t="s">
        <v>1</v>
      </c>
      <c r="B3" s="3" t="s">
        <v>2</v>
      </c>
      <c r="C3" s="3"/>
      <c r="D3" s="3"/>
    </row>
    <row r="4" spans="1:12">
      <c r="A4" s="2" t="s">
        <v>3</v>
      </c>
      <c r="B4" s="3" t="s">
        <v>4</v>
      </c>
      <c r="C4" s="3"/>
      <c r="D4" s="3"/>
    </row>
    <row r="5" spans="1:12">
      <c r="A5" s="2" t="s">
        <v>5</v>
      </c>
      <c r="B5" s="4" t="s">
        <v>6</v>
      </c>
      <c r="C5" s="3"/>
      <c r="D5" s="3"/>
    </row>
    <row r="7" spans="1:12">
      <c r="A7" s="5" t="s">
        <v>7</v>
      </c>
      <c r="B7" s="5"/>
      <c r="C7" s="5"/>
      <c r="D7" s="5"/>
      <c r="G7" s="6" t="s">
        <v>8</v>
      </c>
      <c r="H7" s="7"/>
      <c r="I7" s="7"/>
      <c r="J7" s="7"/>
      <c r="K7" s="7"/>
      <c r="L7" s="8"/>
    </row>
    <row r="8" spans="1:12">
      <c r="A8" s="9" t="s">
        <v>9</v>
      </c>
      <c r="B8" s="9" t="s">
        <v>10</v>
      </c>
      <c r="C8" s="9" t="s">
        <v>11</v>
      </c>
      <c r="D8" s="9" t="s">
        <v>12</v>
      </c>
      <c r="G8" s="10" t="s">
        <v>13</v>
      </c>
      <c r="H8" s="10"/>
      <c r="I8" s="10"/>
      <c r="J8" s="10"/>
      <c r="K8" s="10"/>
      <c r="L8" s="10"/>
    </row>
    <row r="9" spans="1:12">
      <c r="A9" s="9">
        <v>1</v>
      </c>
      <c r="B9" s="11" t="s">
        <v>14</v>
      </c>
      <c r="C9" s="11">
        <v>2252441</v>
      </c>
      <c r="D9" s="11" t="s">
        <v>15</v>
      </c>
      <c r="G9" s="9" t="s">
        <v>16</v>
      </c>
      <c r="H9" s="10" t="s">
        <v>17</v>
      </c>
      <c r="I9" s="10"/>
      <c r="J9" s="10"/>
      <c r="K9" s="10"/>
      <c r="L9" s="10"/>
    </row>
    <row r="10" spans="1:12">
      <c r="A10" s="9">
        <v>2</v>
      </c>
      <c r="B10" s="11" t="s">
        <v>18</v>
      </c>
      <c r="C10" s="11">
        <v>2252978</v>
      </c>
      <c r="D10" s="11" t="s">
        <v>19</v>
      </c>
      <c r="G10" s="9"/>
      <c r="H10" s="2" t="str">
        <f>$B$9</f>
        <v>Yiyi Zhu </v>
      </c>
      <c r="I10" s="2" t="str">
        <f>$B$10</f>
        <v>Yolong Xu </v>
      </c>
      <c r="J10" s="2" t="str">
        <f>$B$11</f>
        <v>Zichen Qiu </v>
      </c>
      <c r="K10" s="2" t="str">
        <f>$B$12</f>
        <v>Xu Chen </v>
      </c>
      <c r="L10" s="2" t="s">
        <v>20</v>
      </c>
    </row>
    <row r="11" spans="1:12">
      <c r="A11" s="9">
        <v>3</v>
      </c>
      <c r="B11" s="11" t="s">
        <v>21</v>
      </c>
      <c r="C11" s="11">
        <v>2252705</v>
      </c>
      <c r="D11" s="11" t="s">
        <v>22</v>
      </c>
      <c r="G11" s="12" t="s">
        <v>23</v>
      </c>
      <c r="H11" s="11">
        <v>100</v>
      </c>
      <c r="I11" s="11"/>
      <c r="J11" s="11"/>
      <c r="K11" s="11"/>
      <c r="L11" s="13" t="str">
        <f>SUM(H11:K11)&amp;"/100"</f>
        <v>100/100</v>
      </c>
    </row>
    <row r="12" spans="1:12">
      <c r="A12" s="9">
        <v>4</v>
      </c>
      <c r="B12" s="11" t="s">
        <v>24</v>
      </c>
      <c r="C12" s="11">
        <v>2257453</v>
      </c>
      <c r="D12" s="11" t="s">
        <v>25</v>
      </c>
      <c r="G12" s="12" t="s">
        <v>26</v>
      </c>
      <c r="H12" s="11"/>
      <c r="I12" s="11">
        <v>100</v>
      </c>
      <c r="J12" s="11"/>
      <c r="K12" s="11"/>
      <c r="L12" s="13" t="str">
        <f t="shared" ref="L12:L14" si="0">SUM(H12:K12)&amp;"/100"</f>
        <v>100/100</v>
      </c>
    </row>
    <row r="13" spans="1:12">
      <c r="G13" s="12" t="s">
        <v>27</v>
      </c>
      <c r="H13" s="11"/>
      <c r="I13" s="11"/>
      <c r="J13" s="11">
        <v>100</v>
      </c>
      <c r="K13" s="11"/>
      <c r="L13" s="13" t="str">
        <f t="shared" si="0"/>
        <v>100/100</v>
      </c>
    </row>
    <row r="14" spans="1:12">
      <c r="A14" s="5" t="s">
        <v>28</v>
      </c>
      <c r="B14" s="5"/>
      <c r="C14" s="5"/>
      <c r="D14" s="5"/>
      <c r="E14" s="5"/>
      <c r="G14" s="12" t="s">
        <v>29</v>
      </c>
      <c r="H14" s="11"/>
      <c r="I14" s="11"/>
      <c r="J14" s="11"/>
      <c r="K14" s="11">
        <v>100</v>
      </c>
      <c r="L14" s="13" t="str">
        <f t="shared" si="0"/>
        <v>100/100</v>
      </c>
    </row>
    <row r="15" spans="1:12">
      <c r="A15" s="2"/>
      <c r="B15" s="2" t="str">
        <f>B9</f>
        <v>Yiyi Zhu </v>
      </c>
      <c r="C15" s="2" t="str">
        <f>B10</f>
        <v>Yolong Xu </v>
      </c>
      <c r="D15" s="2" t="str">
        <f>B11</f>
        <v>Zichen Qiu </v>
      </c>
      <c r="E15" s="2" t="str">
        <f>B12</f>
        <v>Xu Chen </v>
      </c>
      <c r="G15" s="14"/>
      <c r="L15" s="15"/>
    </row>
    <row r="16" spans="1:12">
      <c r="A16" s="2" t="str">
        <f>B9</f>
        <v>Yiyi Zhu </v>
      </c>
      <c r="B16" s="16">
        <v>100</v>
      </c>
      <c r="C16" s="16">
        <v>100</v>
      </c>
      <c r="D16" s="16">
        <v>100</v>
      </c>
      <c r="E16" s="16">
        <v>100</v>
      </c>
      <c r="G16" s="17" t="s">
        <v>30</v>
      </c>
      <c r="H16" s="17"/>
      <c r="I16" s="17"/>
      <c r="J16" s="17"/>
      <c r="K16" s="17"/>
      <c r="L16" s="17"/>
    </row>
    <row r="17" spans="1:12">
      <c r="A17" s="2" t="str">
        <f>B10</f>
        <v>Yolong Xu </v>
      </c>
      <c r="B17" s="16">
        <v>100</v>
      </c>
      <c r="C17" s="16">
        <v>100</v>
      </c>
      <c r="D17" s="16">
        <v>100</v>
      </c>
      <c r="E17" s="16">
        <v>100</v>
      </c>
      <c r="G17" s="9" t="s">
        <v>30</v>
      </c>
      <c r="H17" s="18" t="s">
        <v>17</v>
      </c>
      <c r="I17" s="18"/>
      <c r="J17" s="18"/>
      <c r="K17" s="18"/>
      <c r="L17" s="18"/>
    </row>
    <row r="18" spans="1:12">
      <c r="A18" s="2" t="str">
        <f>B11</f>
        <v>Zichen Qiu </v>
      </c>
      <c r="B18" s="16">
        <v>100</v>
      </c>
      <c r="C18" s="16">
        <v>100</v>
      </c>
      <c r="D18" s="16">
        <v>100</v>
      </c>
      <c r="E18" s="16">
        <v>100</v>
      </c>
      <c r="G18" s="9"/>
      <c r="H18" s="2" t="str">
        <f>$B$9</f>
        <v>Yiyi Zhu </v>
      </c>
      <c r="I18" s="2" t="str">
        <f>$B$10</f>
        <v>Yolong Xu </v>
      </c>
      <c r="J18" s="2" t="str">
        <f>$B$11</f>
        <v>Zichen Qiu </v>
      </c>
      <c r="K18" s="2" t="str">
        <f>$B$12</f>
        <v>Xu Chen </v>
      </c>
      <c r="L18" s="2" t="s">
        <v>20</v>
      </c>
    </row>
    <row r="19" spans="1:12">
      <c r="A19" s="2" t="str">
        <f>B12</f>
        <v>Xu Chen </v>
      </c>
      <c r="B19" s="16">
        <v>100</v>
      </c>
      <c r="C19" s="16">
        <v>100</v>
      </c>
      <c r="D19" s="16">
        <v>100</v>
      </c>
      <c r="E19" s="16">
        <v>100</v>
      </c>
      <c r="G19" s="19" t="s">
        <v>31</v>
      </c>
      <c r="H19" s="11">
        <v>25</v>
      </c>
      <c r="I19" s="11">
        <v>25</v>
      </c>
      <c r="J19" s="11">
        <v>25</v>
      </c>
      <c r="K19" s="11">
        <v>25</v>
      </c>
      <c r="L19" s="13" t="str">
        <f>SUM(H19:K19)&amp;"/100"</f>
        <v>100/100</v>
      </c>
    </row>
    <row r="20" spans="1:12">
      <c r="A20" s="2" t="s">
        <v>20</v>
      </c>
      <c r="B20" s="13" t="str">
        <f>SUM(B16:B19)&amp;"/400"</f>
        <v>400/400</v>
      </c>
      <c r="C20" s="13" t="str">
        <f t="shared" ref="C20:E20" si="1">SUM(C16:C19)&amp;"/400"</f>
        <v>400/400</v>
      </c>
      <c r="D20" s="13" t="str">
        <f t="shared" si="1"/>
        <v>400/400</v>
      </c>
      <c r="E20" s="13" t="str">
        <f t="shared" si="1"/>
        <v>400/400</v>
      </c>
      <c r="G20" s="19" t="s">
        <v>32</v>
      </c>
      <c r="H20" s="11"/>
      <c r="I20" s="11">
        <v>100</v>
      </c>
      <c r="J20" s="11"/>
      <c r="K20" s="11"/>
      <c r="L20" s="13" t="str">
        <f t="shared" ref="L20:L23" si="2">SUM(H20:K20)&amp;"/100"</f>
        <v>100/100</v>
      </c>
    </row>
    <row r="21" spans="1:12">
      <c r="G21" s="19" t="s">
        <v>33</v>
      </c>
      <c r="H21" s="11"/>
      <c r="I21" s="11"/>
      <c r="J21" s="11">
        <v>100</v>
      </c>
      <c r="K21" s="11"/>
      <c r="L21" s="13" t="str">
        <f t="shared" si="2"/>
        <v>100/100</v>
      </c>
    </row>
    <row r="22" spans="1:12">
      <c r="G22" s="19" t="s">
        <v>34</v>
      </c>
      <c r="H22" s="11">
        <v>100</v>
      </c>
      <c r="I22" s="11"/>
      <c r="J22" s="11"/>
      <c r="K22" s="11"/>
      <c r="L22" s="13" t="str">
        <f t="shared" si="2"/>
        <v>100/100</v>
      </c>
    </row>
    <row r="23" spans="1:12">
      <c r="G23" s="19" t="s">
        <v>35</v>
      </c>
      <c r="H23" s="11"/>
      <c r="I23" s="11"/>
      <c r="J23" s="11"/>
      <c r="K23" s="11">
        <v>100</v>
      </c>
      <c r="L23" s="13" t="str">
        <f t="shared" si="2"/>
        <v>100/100</v>
      </c>
    </row>
  </sheetData>
  <sheetProtection sheet="1" selectLockedCells="1"/>
  <mergeCells count="13">
    <mergeCell ref="A1:L1"/>
    <mergeCell ref="B3:D3"/>
    <mergeCell ref="B4:D4"/>
    <mergeCell ref="B5:D5"/>
    <mergeCell ref="A7:D7"/>
    <mergeCell ref="G7:L7"/>
    <mergeCell ref="G8:L8"/>
    <mergeCell ref="H9:L9"/>
    <mergeCell ref="A14:E14"/>
    <mergeCell ref="G16:L16"/>
    <mergeCell ref="H17:L17"/>
    <mergeCell ref="G9:G10"/>
    <mergeCell ref="G17:G18"/>
  </mergeCells>
  <conditionalFormatting sqref="B20:E20">
    <cfRule type="expression" dxfId="0" priority="10" stopIfTrue="1">
      <formula>SUM(B16:B19)=400</formula>
    </cfRule>
    <cfRule type="expression" dxfId="1" priority="11" stopIfTrue="1">
      <formula>SUM(B16:B19)&lt;400</formula>
    </cfRule>
    <cfRule type="expression" dxfId="2" priority="12" stopIfTrue="1">
      <formula>SUM(B16:B19)&gt;400</formula>
    </cfRule>
  </conditionalFormatting>
  <conditionalFormatting sqref="L11:L14">
    <cfRule type="expression" dxfId="1" priority="13">
      <formula>SUM(H11:K11)&lt;100</formula>
    </cfRule>
    <cfRule type="expression" dxfId="2" priority="14">
      <formula>SUM(H11:K11)&gt;100</formula>
    </cfRule>
    <cfRule type="expression" dxfId="0" priority="15">
      <formula>SUM(H11:K11)=100</formula>
    </cfRule>
  </conditionalFormatting>
  <conditionalFormatting sqref="L19:L23">
    <cfRule type="expression" dxfId="1" priority="16">
      <formula>SUM(H19:K19)&lt;100</formula>
    </cfRule>
    <cfRule type="expression" dxfId="2" priority="17">
      <formula>SUM(H19:K19)&gt;100</formula>
    </cfRule>
    <cfRule type="expression" dxfId="0" priority="18">
      <formula>SUM(H19:K19)=100</formula>
    </cfRule>
  </conditionalFormatting>
  <hyperlinks>
    <hyperlink ref="B5" r:id="rId2" display="https://github.com/Xyu-Chern/advanced-finance-tracker"/>
  </hyperlinks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soonphei tin</dc:creator>
  <cp:lastModifiedBy>开篇为序</cp:lastModifiedBy>
  <dcterms:created xsi:type="dcterms:W3CDTF">2026-04-30T01:40:00Z</dcterms:created>
  <dcterms:modified xsi:type="dcterms:W3CDTF">2026-05-18T11:16:35Z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9DA2512A93B24389A9D41D939078B157_12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